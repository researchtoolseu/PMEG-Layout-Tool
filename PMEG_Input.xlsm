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Desktop\PMEG_ready_2\DO_NOT_CHANGE_OR_DISTRIBUTE_core_files\"/>
    </mc:Choice>
  </mc:AlternateContent>
  <xr:revisionPtr revIDLastSave="0" documentId="13_ncr:1_{952C1314-A9F0-4A04-AEA3-2B7ED01CAFCD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PMEG_Input" sheetId="1" r:id="rId1"/>
    <sheet name="Instructions" sheetId="4" r:id="rId2"/>
    <sheet name="Lists" sheetId="3" r:id="rId3"/>
  </sheets>
  <definedNames>
    <definedName name="anchor_list" localSheetId="2">OFFSET(Lists!$E$2,0,0,COUNTA(Lists!$E:$E)-1,1)</definedName>
    <definedName name="ap_anchor_list" localSheetId="2">OFFSET(Lists!$C$2,0,0,COUNTA(Lists!$C:$C)-1,1)</definedName>
    <definedName name="v_anchor_list">OFFSET(Lists!$D$2,0,0,COUNTA(Lists!$D:$D)-1,1)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F6" i="1"/>
  <c r="F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OpenAI</author>
  </authors>
  <commentList>
    <comment ref="A5" authorId="0" shapeId="0" xr:uid="{0635D4A8-7C00-4D5B-BFA2-B4E4C02B8B84}">
      <text>
        <r>
          <rPr>
            <sz val="11"/>
            <color theme="1"/>
            <rFont val="Calibri"/>
            <family val="2"/>
            <scheme val="minor"/>
          </rPr>
          <t>Record the physician responsible for the planning measurements. This value is written into the PDF and report outputs for traceability.</t>
        </r>
      </text>
    </comment>
    <comment ref="A20" authorId="0" shapeId="0" xr:uid="{89E2999B-1A04-4DB9-9C6B-71F847138D98}">
      <text>
        <r>
          <rPr>
            <sz val="11"/>
            <color theme="1"/>
            <rFont val="Calibri"/>
            <family val="2"/>
            <scheme val="minor"/>
          </rPr>
          <t>Length of graft above the top of the most proximal fenestration</t>
        </r>
      </text>
    </comment>
    <comment ref="A21" authorId="0" shapeId="0" xr:uid="{C854596C-C116-425D-B7B4-73AB5D9F3AAA}">
      <text>
        <r>
          <rPr>
            <sz val="11"/>
            <color theme="1"/>
            <rFont val="Calibri"/>
            <family val="2"/>
            <scheme val="minor"/>
          </rPr>
          <t>Name of the most proximal fenestration</t>
        </r>
      </text>
    </comment>
    <comment ref="A24" authorId="0" shapeId="0" xr:uid="{00000000-0006-0000-0000-000001000000}">
      <text>
        <r>
          <rPr>
            <b/>
            <sz val="11"/>
            <color theme="1"/>
            <rFont val="Calibri"/>
            <family val="2"/>
            <scheme val="minor"/>
          </rPr>
          <t xml:space="preserve">Target vessel name 
• </t>
        </r>
        <r>
          <rPr>
            <sz val="11"/>
            <color theme="1"/>
            <rFont val="Calibri"/>
            <family val="2"/>
            <scheme val="minor"/>
          </rPr>
          <t>e.g. CA, SMA, RRA, LRA.</t>
        </r>
      </text>
    </comment>
    <comment ref="B24" authorId="0" shapeId="0" xr:uid="{00000000-0006-0000-0000-000002000000}">
      <text>
        <r>
          <rPr>
            <b/>
            <sz val="11"/>
            <color theme="1"/>
            <rFont val="Calibri"/>
            <family val="2"/>
            <scheme val="minor"/>
          </rPr>
          <t>Signed angle (degrees) on graft clockface</t>
        </r>
        <r>
          <rPr>
            <sz val="11"/>
            <color theme="1"/>
            <rFont val="Calibri"/>
            <family val="2"/>
            <scheme val="minor"/>
          </rPr>
          <t xml:space="preserve">
• Use positive values (+) for angles to the right of 12 o’clock
• Use negative values (–) for angles to the left of 12 o’clock
• Angle range must be: –180° to +180°
⚠️ Do NOT use 0–360° notation (e.g. 315 is invalid, use -45)</t>
        </r>
      </text>
    </comment>
    <comment ref="C24" authorId="0" shapeId="0" xr:uid="{00000000-0006-0000-0000-000003000000}">
      <text>
        <r>
          <rPr>
            <b/>
            <sz val="11"/>
            <color theme="1"/>
            <rFont val="Calibri"/>
            <family val="2"/>
            <scheme val="minor"/>
          </rPr>
          <t>Fenestration diameter</t>
        </r>
        <r>
          <rPr>
            <sz val="11"/>
            <color theme="1"/>
            <rFont val="Calibri"/>
            <family val="2"/>
            <scheme val="minor"/>
          </rPr>
          <t xml:space="preserve"> • </t>
        </r>
        <r>
          <rPr>
            <i/>
            <sz val="11"/>
            <color theme="1"/>
            <rFont val="Calibri"/>
            <family val="2"/>
            <scheme val="minor"/>
          </rPr>
          <t>In mm</t>
        </r>
      </text>
    </comment>
    <comment ref="D24" authorId="0" shapeId="0" xr:uid="{78495CDE-2998-4D50-8C80-DFC50E30BDF7}">
      <text>
        <r>
          <rPr>
            <b/>
            <sz val="11"/>
            <color theme="1"/>
            <rFont val="Calibri"/>
            <family val="2"/>
            <scheme val="minor"/>
          </rPr>
          <t xml:space="preserve">Distance from ZERO </t>
        </r>
        <r>
          <rPr>
            <sz val="11"/>
            <color theme="1"/>
            <rFont val="Calibri"/>
            <family val="2"/>
            <scheme val="minor"/>
          </rPr>
          <t xml:space="preserve">(bottom of anchor fenestration) to BOTTOM edge of this fenestration.
• </t>
        </r>
        <r>
          <rPr>
            <i/>
            <sz val="11"/>
            <color theme="1"/>
            <rFont val="Calibri"/>
            <family val="2"/>
            <scheme val="minor"/>
          </rPr>
          <t>In mm</t>
        </r>
        <r>
          <rPr>
            <sz val="11"/>
            <color theme="1"/>
            <rFont val="Calibri"/>
            <family val="2"/>
            <scheme val="minor"/>
          </rPr>
          <t xml:space="preserve">
• To be used in Planning mode only.
• Leave anchor distance blank or 0.</t>
        </r>
      </text>
    </comment>
    <comment ref="E24" authorId="0" shapeId="0" xr:uid="{00000000-0006-0000-0000-000005000000}">
      <text>
        <r>
          <rPr>
            <b/>
            <sz val="11"/>
            <color theme="1"/>
            <rFont val="Calibri"/>
            <family val="2"/>
            <scheme val="minor"/>
          </rPr>
          <t>Distance from graft TOP</t>
        </r>
        <r>
          <rPr>
            <sz val="11"/>
            <color theme="1"/>
            <rFont val="Calibri"/>
            <family val="2"/>
            <scheme val="minor"/>
          </rPr>
          <t xml:space="preserve"> to fenestration CENTER 
•</t>
        </r>
        <r>
          <rPr>
            <i/>
            <sz val="11"/>
            <color theme="1"/>
            <rFont val="Calibri"/>
            <family val="2"/>
            <scheme val="minor"/>
          </rPr>
          <t xml:space="preserve"> In mm.</t>
        </r>
        <r>
          <rPr>
            <sz val="11"/>
            <color theme="1"/>
            <rFont val="Calibri"/>
            <family val="2"/>
            <scheme val="minor"/>
          </rPr>
          <t xml:space="preserve">
• Use in Legacy mode only. 
• Leave blank in Planning mode.</t>
        </r>
      </text>
    </comment>
  </commentList>
</comments>
</file>

<file path=xl/sharedStrings.xml><?xml version="1.0" encoding="utf-8"?>
<sst xmlns="http://schemas.openxmlformats.org/spreadsheetml/2006/main" count="138" uniqueCount="114">
  <si>
    <t>Case / metadata</t>
  </si>
  <si>
    <t>Value</t>
  </si>
  <si>
    <t>Guidance</t>
  </si>
  <si>
    <t>patient_name</t>
  </si>
  <si>
    <t>Patient name</t>
  </si>
  <si>
    <t>Quick checks</t>
  </si>
  <si>
    <t>patient_age</t>
  </si>
  <si>
    <t>Age</t>
  </si>
  <si>
    <t>Nominal perimeter (mm)</t>
  </si>
  <si>
    <t>study_date</t>
  </si>
  <si>
    <t>YYYY-MM-DD</t>
  </si>
  <si>
    <t>graft_diam_mm</t>
  </si>
  <si>
    <t>Nominal graft diameter (required)</t>
  </si>
  <si>
    <t>Recommended input</t>
  </si>
  <si>
    <t>paper</t>
  </si>
  <si>
    <t>A4</t>
  </si>
  <si>
    <t>A4 or A3</t>
  </si>
  <si>
    <t>orientation</t>
  </si>
  <si>
    <t>portrait</t>
  </si>
  <si>
    <t>portrait or landscape</t>
  </si>
  <si>
    <t>film_height_mm</t>
  </si>
  <si>
    <t>Usually 80–90 mm</t>
  </si>
  <si>
    <t>tie_num_rows</t>
  </si>
  <si>
    <t>Usually 3</t>
  </si>
  <si>
    <t>tie_edge_pad_mm</t>
  </si>
  <si>
    <t>8</t>
  </si>
  <si>
    <t>Usually 8 mm</t>
  </si>
  <si>
    <t>dim_header_rotation</t>
  </si>
  <si>
    <t>90</t>
  </si>
  <si>
    <t>Usually 90</t>
  </si>
  <si>
    <t>ap_anchor</t>
  </si>
  <si>
    <t>AP marker anchor</t>
  </si>
  <si>
    <t>v_anchor</t>
  </si>
  <si>
    <t>Check-mark anchor</t>
  </si>
  <si>
    <t>proximal_cover_mm</t>
  </si>
  <si>
    <t>anchor</t>
  </si>
  <si>
    <t>CA</t>
  </si>
  <si>
    <t>Most proximal target; usually CA or SMA</t>
  </si>
  <si>
    <t>Targets</t>
  </si>
  <si>
    <t>Name</t>
  </si>
  <si>
    <t>Theta_deg</t>
  </si>
  <si>
    <t>Fen_diam_mm</t>
  </si>
  <si>
    <t>Dist_from_zero_mm</t>
  </si>
  <si>
    <t>Y_mm</t>
  </si>
  <si>
    <t>SMA</t>
  </si>
  <si>
    <t>RRA</t>
  </si>
  <si>
    <t>LRA</t>
  </si>
  <si>
    <t>PMEG Input Workbook – Instructions</t>
  </si>
  <si>
    <t>1. Open the PMEG_Input sheet.</t>
  </si>
  <si>
    <t>2. Fill the blue cells in the metadata section.</t>
  </si>
  <si>
    <t>3. Planning mode: fill Name, Theta_deg, Fen_diam_mm, Dist_from_zero_mm.</t>
  </si>
  <si>
    <t>4. Leave Y_mm blank in planning mode.</t>
  </si>
  <si>
    <t>5. Legacy mode: fill Y_mm instead of Dist_from_zero_mm.</t>
  </si>
  <si>
    <t>6. Save the workbook and run the Python script directly on the .xlsx file.</t>
  </si>
  <si>
    <t>7. Example command:</t>
  </si>
  <si>
    <t xml:space="preserve">   python pmeg_layout_mm_paper_v2.10_xlsx.py --input your_case.xlsx</t>
  </si>
  <si>
    <t>The script still accepts CSV, but it now also reads this Excel workbook directly.</t>
  </si>
  <si>
    <t>NEW: one-click runner from Excel (Windows)</t>
  </si>
  <si>
    <t>1. Keep these 3 files in the same folder:</t>
  </si>
  <si>
    <t xml:space="preserve">   - your .xlsx workbook</t>
  </si>
  <si>
    <t xml:space="preserve">   - pmeg_layout_mm_paper_v2.10_xlsx.py</t>
  </si>
  <si>
    <t xml:space="preserve">   - Run_PMEG_from_Excel.bat</t>
  </si>
  <si>
    <t>2. Open the workbook in Excel desktop and click "RUN PMEG PDF".</t>
  </si>
  <si>
    <t>3. Allow Excel / Windows security prompts if asked.</t>
  </si>
  <si>
    <t>4. The BAT file will try "py" first, then "python".</t>
  </si>
  <si>
    <t>5. The generated PDF/PNG files will be saved next to the workbook.</t>
  </si>
  <si>
    <t>BELOW_RENALS</t>
  </si>
  <si>
    <t>A3</t>
  </si>
  <si>
    <t>landscape</t>
  </si>
  <si>
    <t>TOP</t>
  </si>
  <si>
    <t>NONE</t>
  </si>
  <si>
    <t>physician_name</t>
  </si>
  <si>
    <t>Physician who performed the measurements</t>
  </si>
  <si>
    <t>cut_margin_mm</t>
  </si>
  <si>
    <t>AM Lazaris</t>
  </si>
  <si>
    <t>Smirn Konst</t>
  </si>
  <si>
    <t>PMEG Input</t>
  </si>
  <si>
    <t>Cut guide margin outside wrap edge (default 20)</t>
  </si>
  <si>
    <t>Fill the blue cells and press the "Run" button</t>
  </si>
  <si>
    <t>Notes</t>
  </si>
  <si>
    <t>Required for Planning mode or blank for Legacy mode</t>
  </si>
  <si>
    <t>Active mode</t>
  </si>
  <si>
    <t>Fill the blue cells. Planning mode: use Dist_from_zero_mm and leave Y_mm blank. Legacy mode: use Y_mm instead. Notes are optional.</t>
  </si>
  <si>
    <t>Orientation</t>
  </si>
  <si>
    <t>Paper</t>
  </si>
  <si>
    <t>Drop-down menus configuration</t>
  </si>
  <si>
    <t>2. The values are stored in the "Lists" sheet</t>
  </si>
  <si>
    <t>3. Open the "Lists" tab</t>
  </si>
  <si>
    <t>1. The dropdown menus (like orientation = portrait/landscape) come from Data Validation lists in Excel.</t>
  </si>
  <si>
    <t xml:space="preserve">  - Click on a dropdown cell</t>
  </si>
  <si>
    <r>
      <t xml:space="preserve">  - You will see a source like: </t>
    </r>
    <r>
      <rPr>
        <i/>
        <sz val="11"/>
        <color theme="1"/>
        <rFont val="Calibri"/>
        <family val="2"/>
        <scheme val="minor"/>
      </rPr>
      <t xml:space="preserve">=Lists!A2:A3, </t>
    </r>
    <r>
      <rPr>
        <sz val="11"/>
        <color theme="1"/>
        <rFont val="Calibri"/>
        <family val="2"/>
        <scheme val="minor"/>
      </rPr>
      <t xml:space="preserve">or a named range like: </t>
    </r>
    <r>
      <rPr>
        <i/>
        <sz val="11"/>
        <color theme="1"/>
        <rFont val="Calibri"/>
        <family val="2"/>
        <scheme val="minor"/>
      </rPr>
      <t>=orientation_list</t>
    </r>
  </si>
  <si>
    <r>
      <t xml:space="preserve">4. Each dropdown cell is linked via </t>
    </r>
    <r>
      <rPr>
        <b/>
        <sz val="11"/>
        <color theme="1"/>
        <rFont val="Calibri"/>
        <family val="2"/>
        <scheme val="minor"/>
      </rPr>
      <t>Data Validation &gt; List</t>
    </r>
  </si>
  <si>
    <r>
      <t xml:space="preserve">  - Go to </t>
    </r>
    <r>
      <rPr>
        <b/>
        <sz val="11"/>
        <color theme="1"/>
        <rFont val="Calibri"/>
        <family val="2"/>
        <scheme val="minor"/>
      </rPr>
      <t>Data &gt; Data Validation</t>
    </r>
  </si>
  <si>
    <t xml:space="preserve">5. Change the source or the named range according to your needs </t>
  </si>
  <si>
    <r>
      <t xml:space="preserve">   1. Go to </t>
    </r>
    <r>
      <rPr>
        <b/>
        <sz val="11"/>
        <color theme="1"/>
        <rFont val="Calibri"/>
        <family val="2"/>
        <scheme val="minor"/>
      </rPr>
      <t>Formulas</t>
    </r>
  </si>
  <si>
    <r>
      <t xml:space="preserve">   2. Click </t>
    </r>
    <r>
      <rPr>
        <b/>
        <sz val="11"/>
        <color theme="1"/>
        <rFont val="Calibri"/>
        <family val="2"/>
        <scheme val="minor"/>
      </rPr>
      <t>Name Manager</t>
    </r>
  </si>
  <si>
    <r>
      <t xml:space="preserve">   3. Click </t>
    </r>
    <r>
      <rPr>
        <b/>
        <sz val="11"/>
        <color theme="1"/>
        <rFont val="Calibri"/>
        <family val="2"/>
        <scheme val="minor"/>
      </rPr>
      <t>New</t>
    </r>
  </si>
  <si>
    <r>
      <t xml:space="preserve">   --- If you want to include the total list of one columne (i.e. column D), dynamically, excluding one cell (i.e. the top cell), use the following formula: </t>
    </r>
    <r>
      <rPr>
        <i/>
        <sz val="11"/>
        <color theme="1"/>
        <rFont val="Calibri"/>
        <family val="2"/>
        <scheme val="minor"/>
      </rPr>
      <t>=OFFSET(Lists!$D$2,0,0,COUNTA(Lists!$D:$D)-1,1)</t>
    </r>
  </si>
  <si>
    <r>
      <t xml:space="preserve">   --- Fill name (i.e. </t>
    </r>
    <r>
      <rPr>
        <i/>
        <sz val="11"/>
        <color theme="1"/>
        <rFont val="Calibri"/>
        <family val="2"/>
        <scheme val="minor"/>
      </rPr>
      <t>orientation_name)</t>
    </r>
    <r>
      <rPr>
        <sz val="11"/>
        <color theme="1"/>
        <rFont val="Calibri"/>
        <family val="2"/>
        <scheme val="minor"/>
      </rPr>
      <t xml:space="preserve">, sheet (i.e. </t>
    </r>
    <r>
      <rPr>
        <i/>
        <sz val="11"/>
        <color theme="1"/>
        <rFont val="Calibri"/>
        <family val="2"/>
        <scheme val="minor"/>
      </rPr>
      <t xml:space="preserve">Sheet1, </t>
    </r>
    <r>
      <rPr>
        <sz val="11"/>
        <color theme="1"/>
        <rFont val="Calibri"/>
        <family val="2"/>
        <scheme val="minor"/>
      </rPr>
      <t xml:space="preserve">or </t>
    </r>
    <r>
      <rPr>
        <i/>
        <sz val="11"/>
        <color theme="1"/>
        <rFont val="Calibri"/>
        <family val="2"/>
        <scheme val="minor"/>
      </rPr>
      <t>List</t>
    </r>
    <r>
      <rPr>
        <sz val="11"/>
        <color theme="1"/>
        <rFont val="Calibri"/>
        <family val="2"/>
        <scheme val="minor"/>
      </rPr>
      <t>), and range</t>
    </r>
  </si>
  <si>
    <r>
      <t xml:space="preserve">   4. When you call the </t>
    </r>
    <r>
      <rPr>
        <b/>
        <sz val="11"/>
        <color theme="1"/>
        <rFont val="Calibri"/>
        <family val="2"/>
        <scheme val="minor"/>
      </rPr>
      <t xml:space="preserve">Data Validation </t>
    </r>
    <r>
      <rPr>
        <sz val="11"/>
        <color theme="1"/>
        <rFont val="Calibri"/>
        <family val="2"/>
        <scheme val="minor"/>
      </rPr>
      <t xml:space="preserve">range fill the name (i.e. </t>
    </r>
    <r>
      <rPr>
        <i/>
        <sz val="11"/>
        <color theme="1"/>
        <rFont val="Calibri"/>
        <family val="2"/>
        <scheme val="minor"/>
      </rPr>
      <t>=orientation_list</t>
    </r>
    <r>
      <rPr>
        <sz val="11"/>
        <color theme="1"/>
        <rFont val="Calibri"/>
        <family val="2"/>
        <scheme val="minor"/>
      </rPr>
      <t>)</t>
    </r>
  </si>
  <si>
    <r>
      <t xml:space="preserve">  - In the </t>
    </r>
    <r>
      <rPr>
        <b/>
        <sz val="11"/>
        <color theme="1"/>
        <rFont val="Calibri"/>
        <family val="2"/>
        <scheme val="minor"/>
      </rPr>
      <t xml:space="preserve">Allow </t>
    </r>
    <r>
      <rPr>
        <sz val="11"/>
        <color theme="1"/>
        <rFont val="Calibri"/>
        <family val="2"/>
        <scheme val="minor"/>
      </rPr>
      <t xml:space="preserve">field choose </t>
    </r>
    <r>
      <rPr>
        <i/>
        <sz val="11"/>
        <color theme="1"/>
        <rFont val="Calibri"/>
        <family val="2"/>
        <scheme val="minor"/>
      </rPr>
      <t xml:space="preserve">List, </t>
    </r>
    <r>
      <rPr>
        <sz val="11"/>
        <color theme="1"/>
        <rFont val="Calibri"/>
        <family val="2"/>
        <scheme val="minor"/>
      </rPr>
      <t xml:space="preserve">and in the </t>
    </r>
    <r>
      <rPr>
        <b/>
        <sz val="11"/>
        <color theme="1"/>
        <rFont val="Calibri"/>
        <family val="2"/>
        <scheme val="minor"/>
      </rPr>
      <t xml:space="preserve">Source </t>
    </r>
    <r>
      <rPr>
        <sz val="11"/>
        <color theme="1"/>
        <rFont val="Calibri"/>
        <family val="2"/>
        <scheme val="minor"/>
      </rPr>
      <t xml:space="preserve">field choose the area where you want to get the values from </t>
    </r>
  </si>
  <si>
    <r>
      <t xml:space="preserve">   Note: how to create a </t>
    </r>
    <r>
      <rPr>
        <b/>
        <sz val="11"/>
        <color theme="1"/>
        <rFont val="Calibri"/>
        <family val="2"/>
        <scheme val="minor"/>
      </rPr>
      <t>Data Validation &gt; List</t>
    </r>
  </si>
  <si>
    <r>
      <rPr>
        <b/>
        <sz val="11"/>
        <color theme="1"/>
        <rFont val="Aptos Narrow"/>
        <family val="2"/>
      </rPr>
      <t>✓</t>
    </r>
    <r>
      <rPr>
        <b/>
        <sz val="11"/>
        <color theme="1"/>
        <rFont val="Calibri"/>
        <family val="2"/>
        <scheme val="minor"/>
      </rPr>
      <t xml:space="preserve"> anchor (v_anchor_list)</t>
    </r>
  </si>
  <si>
    <t>Anchor (anchor_list)</t>
  </si>
  <si>
    <t>AP anchor (ap_anchor_list)</t>
  </si>
  <si>
    <t>NOTES:</t>
  </si>
  <si>
    <t>1. If necessary, add more target vessels in lists C, D, E</t>
  </si>
  <si>
    <t>2. The blue cells cannot be changed</t>
  </si>
  <si>
    <t>tie_positions_clock</t>
  </si>
  <si>
    <t>Default 4, 6, 8</t>
  </si>
  <si>
    <t>Ties position (tie_positions_clock)</t>
  </si>
  <si>
    <t>3,6,9</t>
  </si>
  <si>
    <t>4,6,8</t>
  </si>
  <si>
    <t>5,6,7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</si>
</sst>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#"/>
  </numFmts>
  <fonts count="17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FFFFFF"/>
      <name val="Calibri"/>
      <family val="2"/>
    </font>
    <font>
      <sz val="11"/>
      <color rgb="FF666666"/>
      <name val="Calibri"/>
      <family val="2"/>
    </font>
    <font>
      <sz val="11"/>
      <color rgb="FF0000FF"/>
      <name val="Calibri"/>
      <family val="2"/>
    </font>
    <font>
      <i/>
      <sz val="11"/>
      <color rgb="FF666666"/>
      <name val="Calibri"/>
      <family val="2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b/>
      <sz val="15"/>
      <name val="Calibri"/>
      <family val="2"/>
    </font>
    <font>
      <b/>
      <sz val="11"/>
      <name val="Calibri"/>
      <family val="2"/>
    </font>
    <font>
      <sz val="8"/>
      <color rgb="FF0000FF"/>
      <name val="Calibri"/>
      <family val="2"/>
    </font>
    <font>
      <b/>
      <sz val="11"/>
      <color rgb="FF0000FF"/>
      <name val="Calibri"/>
      <family val="2"/>
    </font>
    <font>
      <b/>
      <sz val="11"/>
      <color rgb="FF008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E7E6E6"/>
      </patternFill>
    </fill>
    <fill>
      <patternFill patternType="solid">
        <fgColor rgb="FFDCE6F1"/>
      </patternFill>
    </fill>
    <fill>
      <patternFill patternType="solid">
        <fgColor rgb="FFE2F0D9"/>
      </patternFill>
    </fill>
    <fill>
      <patternFill patternType="solid">
        <fgColor rgb="FFDCE6F1"/>
        <bgColor indexed="64"/>
      </patternFill>
    </fill>
    <fill>
      <patternFill patternType="solid">
        <fgColor theme="3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ck">
        <color rgb="FFBFBFBF"/>
      </left>
      <right style="thin">
        <color rgb="FFBFBFBF"/>
      </right>
      <top style="thin">
        <color rgb="FFBFBFBF"/>
      </top>
      <bottom style="thick">
        <color rgb="FFBFBFBF"/>
      </bottom>
      <diagonal/>
    </border>
    <border>
      <left style="thick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rgb="FFBFBFBF"/>
      </bottom>
      <diagonal/>
    </border>
    <border>
      <left/>
      <right style="thick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 style="thin">
        <color rgb="FFBFBFBF"/>
      </right>
      <top style="thick">
        <color rgb="FFBFBFBF"/>
      </top>
      <bottom/>
      <diagonal/>
    </border>
    <border>
      <left/>
      <right style="thin">
        <color rgb="FFBFBFBF"/>
      </right>
      <top/>
      <bottom/>
      <diagonal/>
    </border>
    <border>
      <left style="thin">
        <color rgb="FFBFBFBF"/>
      </left>
      <right/>
      <top style="thick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3" fillId="2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5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5" fillId="4" borderId="1" xfId="0" applyFont="1" applyFill="1" applyBorder="1" applyAlignment="1" applyProtection="1">
      <alignment horizontal="left" vertical="center"/>
      <protection locked="0"/>
    </xf>
    <xf numFmtId="14" fontId="5" fillId="4" borderId="1" xfId="0" applyNumberFormat="1" applyFont="1" applyFill="1" applyBorder="1" applyAlignment="1" applyProtection="1">
      <alignment horizontal="left" vertical="center"/>
      <protection locked="0"/>
    </xf>
    <xf numFmtId="0" fontId="0" fillId="0" borderId="9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8" fillId="5" borderId="10" xfId="0" applyFont="1" applyFill="1" applyBorder="1" applyAlignment="1">
      <alignment vertical="center"/>
    </xf>
    <xf numFmtId="164" fontId="5" fillId="6" borderId="1" xfId="0" applyNumberFormat="1" applyFont="1" applyFill="1" applyBorder="1" applyAlignment="1" applyProtection="1">
      <alignment horizontal="left" vertical="center"/>
      <protection locked="0"/>
    </xf>
    <xf numFmtId="164" fontId="11" fillId="4" borderId="1" xfId="0" applyNumberFormat="1" applyFont="1" applyFill="1" applyBorder="1" applyAlignment="1" applyProtection="1">
      <alignment horizontal="left" vertical="center" wrapText="1"/>
      <protection locked="0"/>
    </xf>
    <xf numFmtId="164" fontId="11" fillId="6" borderId="1" xfId="0" applyNumberFormat="1" applyFont="1" applyFill="1" applyBorder="1" applyAlignment="1" applyProtection="1">
      <alignment horizontal="left" vertical="center" wrapText="1"/>
      <protection locked="0"/>
    </xf>
    <xf numFmtId="0" fontId="5" fillId="4" borderId="1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4" fillId="0" borderId="19" xfId="0" applyFont="1" applyBorder="1"/>
    <xf numFmtId="0" fontId="9" fillId="0" borderId="0" xfId="0" applyFont="1"/>
    <xf numFmtId="0" fontId="10" fillId="0" borderId="0" xfId="0" applyFont="1"/>
    <xf numFmtId="0" fontId="14" fillId="0" borderId="0" xfId="0" applyFont="1"/>
    <xf numFmtId="0" fontId="0" fillId="7" borderId="0" xfId="0" applyFill="1"/>
    <xf numFmtId="0" fontId="15" fillId="0" borderId="0" xfId="0" applyFont="1"/>
    <xf numFmtId="0" fontId="7" fillId="2" borderId="14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164" fontId="12" fillId="4" borderId="6" xfId="0" applyNumberFormat="1" applyFont="1" applyFill="1" applyBorder="1" applyAlignment="1">
      <alignment horizontal="center" vertical="center"/>
    </xf>
    <xf numFmtId="164" fontId="12" fillId="4" borderId="7" xfId="0" applyNumberFormat="1" applyFont="1" applyFill="1" applyBorder="1" applyAlignment="1">
      <alignment horizontal="center" vertical="center"/>
    </xf>
    <xf numFmtId="164" fontId="12" fillId="4" borderId="2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8"/>
        <color rgb="FF0000FF"/>
        <name val="Calibri"/>
        <family val="2"/>
        <scheme val="none"/>
      </font>
      <numFmt numFmtId="164" formatCode="0.0#"/>
      <fill>
        <patternFill patternType="solid">
          <fgColor indexed="64"/>
          <bgColor rgb="FFDCE6F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alignment horizontal="left" textRotation="0" wrapText="0" indent="0" justifyLastLine="0" shrinkToFit="0" readingOrder="0"/>
      <border diagonalUp="0" diagonalDown="0">
        <right style="thin">
          <color rgb="FFBFBFBF"/>
        </right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none"/>
      </font>
      <numFmt numFmtId="164" formatCode="0.0#"/>
      <fill>
        <patternFill patternType="solid">
          <fgColor indexed="64"/>
          <bgColor rgb="FFDCE6F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  <protection locked="0" hidden="0"/>
    </dxf>
    <dxf>
      <alignment horizontal="left" textRotation="0" wrapText="0" indent="0" justifyLastLine="0" shrinkToFit="0" readingOrder="0"/>
      <protection locked="0" hidden="0"/>
    </dxf>
    <dxf>
      <alignment horizontal="left" textRotation="0" wrapText="0" indent="0" justifyLastLine="0" shrinkToFit="0" readingOrder="0"/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18</xdr:row>
          <xdr:rowOff>19050</xdr:rowOff>
        </xdr:from>
        <xdr:to>
          <xdr:col>5</xdr:col>
          <xdr:colOff>1435100</xdr:colOff>
          <xdr:row>20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▶ 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rgetInput" displayName="TargetInput" ref="A24:F32">
  <autoFilter ref="A24:F32" xr:uid="{00000000-0009-0000-0100-000001000000}"/>
  <tableColumns count="6">
    <tableColumn id="1" xr3:uid="{00000000-0010-0000-0000-000001000000}" name="Name" dataDxfId="5"/>
    <tableColumn id="2" xr3:uid="{00000000-0010-0000-0000-000002000000}" name="Theta_deg" dataDxfId="4"/>
    <tableColumn id="3" xr3:uid="{00000000-0010-0000-0000-000003000000}" name="Fen_diam_mm" dataDxfId="3"/>
    <tableColumn id="7" xr3:uid="{76888BF5-E0BC-48C9-B73D-03D973788E6D}" name="Dist_from_zero_mm" dataDxfId="2"/>
    <tableColumn id="5" xr3:uid="{00000000-0010-0000-0000-000005000000}" name="Y_mm" dataDxfId="1"/>
    <tableColumn id="6" xr3:uid="{00000000-0010-0000-0000-000006000000}" name="No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2"/>
  <sheetViews>
    <sheetView showGridLines="0" tabSelected="1" zoomScale="110" zoomScaleNormal="110" workbookViewId="0">
      <selection activeCell="A14" sqref="A14"/>
    </sheetView>
  </sheetViews>
  <sheetFormatPr defaultRowHeight="14.5" x14ac:dyDescent="0.35"/>
  <cols>
    <col min="1" max="1" width="23.6328125" customWidth="1"/>
    <col min="2" max="3" width="23.6328125" style="6" customWidth="1"/>
    <col min="4" max="4" width="23.90625" style="6" customWidth="1"/>
    <col min="5" max="5" width="23.6328125" customWidth="1"/>
    <col min="6" max="6" width="24.90625" customWidth="1"/>
    <col min="7" max="7" width="8.7265625" customWidth="1"/>
  </cols>
  <sheetData>
    <row r="1" spans="1:6" x14ac:dyDescent="0.35">
      <c r="A1" s="38" t="s">
        <v>78</v>
      </c>
      <c r="B1" s="39"/>
      <c r="C1" s="39"/>
      <c r="D1" s="39"/>
      <c r="E1" s="39"/>
      <c r="F1" s="40"/>
    </row>
    <row r="2" spans="1:6" x14ac:dyDescent="0.35">
      <c r="A2" s="41"/>
      <c r="B2" s="42"/>
      <c r="C2" s="42"/>
      <c r="D2" s="42"/>
      <c r="E2" s="42"/>
      <c r="F2" s="43"/>
    </row>
    <row r="3" spans="1:6" ht="21" x14ac:dyDescent="0.5">
      <c r="A3" s="44" t="s">
        <v>76</v>
      </c>
      <c r="B3" s="45"/>
      <c r="C3" s="45"/>
      <c r="D3" s="45"/>
      <c r="E3" s="45"/>
      <c r="F3" s="46"/>
    </row>
    <row r="4" spans="1:6" ht="15" customHeight="1" x14ac:dyDescent="0.35">
      <c r="A4" s="1" t="s">
        <v>0</v>
      </c>
      <c r="B4" s="5" t="s">
        <v>1</v>
      </c>
      <c r="C4" s="47" t="s">
        <v>2</v>
      </c>
      <c r="D4" s="48"/>
      <c r="E4" s="47" t="s">
        <v>5</v>
      </c>
      <c r="F4" s="48"/>
    </row>
    <row r="5" spans="1:6" ht="15" customHeight="1" x14ac:dyDescent="0.35">
      <c r="A5" s="2" t="s">
        <v>71</v>
      </c>
      <c r="B5" s="7" t="s">
        <v>74</v>
      </c>
      <c r="C5" s="35" t="s">
        <v>72</v>
      </c>
      <c r="D5" s="37"/>
      <c r="E5" s="9" t="s">
        <v>8</v>
      </c>
      <c r="F5" s="4">
        <f>IF(B9="","",PI()*B9)</f>
        <v>94.247779607693786</v>
      </c>
    </row>
    <row r="6" spans="1:6" ht="15" customHeight="1" x14ac:dyDescent="0.35">
      <c r="A6" s="2" t="s">
        <v>3</v>
      </c>
      <c r="B6" s="7" t="s">
        <v>75</v>
      </c>
      <c r="C6" s="35" t="s">
        <v>4</v>
      </c>
      <c r="D6" s="37"/>
      <c r="E6" s="9" t="s">
        <v>81</v>
      </c>
      <c r="F6" s="3" t="str">
        <f>IF(B20&lt;&gt;"","Planning mode","Legacy mode")</f>
        <v>Planning mode</v>
      </c>
    </row>
    <row r="7" spans="1:6" ht="15" thickBot="1" x14ac:dyDescent="0.4">
      <c r="A7" s="2" t="s">
        <v>6</v>
      </c>
      <c r="B7" s="7">
        <v>77</v>
      </c>
      <c r="C7" s="35" t="s">
        <v>7</v>
      </c>
      <c r="D7" s="37"/>
      <c r="E7" s="10" t="s">
        <v>13</v>
      </c>
      <c r="F7" s="11" t="str">
        <f>IF(F6="Planning mode","Use Dist_from_zero_mm","Use Y_mm")</f>
        <v>Use Dist_from_zero_mm</v>
      </c>
    </row>
    <row r="8" spans="1:6" ht="15" thickTop="1" x14ac:dyDescent="0.35">
      <c r="A8" s="2" t="s">
        <v>9</v>
      </c>
      <c r="B8" s="8">
        <v>46105</v>
      </c>
      <c r="C8" s="35" t="s">
        <v>10</v>
      </c>
      <c r="D8" s="36"/>
      <c r="E8" s="29"/>
      <c r="F8" s="30"/>
    </row>
    <row r="9" spans="1:6" x14ac:dyDescent="0.35">
      <c r="A9" s="2" t="s">
        <v>11</v>
      </c>
      <c r="B9" s="7">
        <v>30</v>
      </c>
      <c r="C9" s="35" t="s">
        <v>12</v>
      </c>
      <c r="D9" s="36"/>
      <c r="E9" s="31"/>
      <c r="F9" s="32"/>
    </row>
    <row r="10" spans="1:6" ht="15.75" customHeight="1" x14ac:dyDescent="0.35">
      <c r="A10" s="2" t="s">
        <v>14</v>
      </c>
      <c r="B10" s="7" t="s">
        <v>15</v>
      </c>
      <c r="C10" s="35" t="s">
        <v>16</v>
      </c>
      <c r="D10" s="36"/>
      <c r="E10" s="31"/>
      <c r="F10" s="32"/>
    </row>
    <row r="11" spans="1:6" x14ac:dyDescent="0.35">
      <c r="A11" s="2" t="s">
        <v>17</v>
      </c>
      <c r="B11" s="7" t="s">
        <v>18</v>
      </c>
      <c r="C11" s="35" t="s">
        <v>19</v>
      </c>
      <c r="D11" s="36"/>
      <c r="E11" s="31"/>
      <c r="F11" s="32"/>
    </row>
    <row r="12" spans="1:6" x14ac:dyDescent="0.35">
      <c r="A12" s="2" t="s">
        <v>20</v>
      </c>
      <c r="B12" s="7">
        <v>60</v>
      </c>
      <c r="C12" s="35" t="s">
        <v>21</v>
      </c>
      <c r="D12" s="36"/>
      <c r="E12" s="31"/>
      <c r="F12" s="32"/>
    </row>
    <row r="13" spans="1:6" x14ac:dyDescent="0.35">
      <c r="A13" s="2" t="s">
        <v>22</v>
      </c>
      <c r="B13" s="7">
        <v>3</v>
      </c>
      <c r="C13" s="35" t="s">
        <v>23</v>
      </c>
      <c r="D13" s="36"/>
      <c r="E13" s="31"/>
      <c r="F13" s="32"/>
    </row>
    <row r="14" spans="1:6" x14ac:dyDescent="0.35">
      <c r="A14" s="2" t="s">
        <v>108</v>
      </c>
      <c r="B14" s="7" t="s">
        <v>112</v>
      </c>
      <c r="C14" s="35" t="s">
        <v>109</v>
      </c>
      <c r="D14" s="36"/>
      <c r="E14" s="31"/>
      <c r="F14" s="32"/>
    </row>
    <row r="15" spans="1:6" x14ac:dyDescent="0.35">
      <c r="A15" s="2" t="s">
        <v>24</v>
      </c>
      <c r="B15" s="7" t="s">
        <v>25</v>
      </c>
      <c r="C15" s="35" t="s">
        <v>26</v>
      </c>
      <c r="D15" s="36"/>
      <c r="E15" s="31"/>
      <c r="F15" s="32"/>
    </row>
    <row r="16" spans="1:6" x14ac:dyDescent="0.35">
      <c r="A16" s="2" t="s">
        <v>73</v>
      </c>
      <c r="B16" s="7">
        <v>10</v>
      </c>
      <c r="C16" s="35" t="s">
        <v>77</v>
      </c>
      <c r="D16" s="36"/>
      <c r="E16" s="31"/>
      <c r="F16" s="32"/>
    </row>
    <row r="17" spans="1:6" x14ac:dyDescent="0.35">
      <c r="A17" s="2" t="s">
        <v>27</v>
      </c>
      <c r="B17" s="7" t="s">
        <v>28</v>
      </c>
      <c r="C17" s="35" t="s">
        <v>29</v>
      </c>
      <c r="D17" s="36"/>
      <c r="E17" s="31"/>
      <c r="F17" s="32"/>
    </row>
    <row r="18" spans="1:6" x14ac:dyDescent="0.35">
      <c r="A18" s="2" t="s">
        <v>30</v>
      </c>
      <c r="B18" s="7" t="s">
        <v>44</v>
      </c>
      <c r="C18" s="35" t="s">
        <v>31</v>
      </c>
      <c r="D18" s="36"/>
      <c r="E18" s="31"/>
      <c r="F18" s="32"/>
    </row>
    <row r="19" spans="1:6" x14ac:dyDescent="0.35">
      <c r="A19" s="2" t="s">
        <v>32</v>
      </c>
      <c r="B19" s="7" t="s">
        <v>66</v>
      </c>
      <c r="C19" s="35" t="s">
        <v>33</v>
      </c>
      <c r="D19" s="36"/>
      <c r="E19" s="31"/>
      <c r="F19" s="32"/>
    </row>
    <row r="20" spans="1:6" x14ac:dyDescent="0.35">
      <c r="A20" s="2" t="s">
        <v>34</v>
      </c>
      <c r="B20" s="7">
        <v>20</v>
      </c>
      <c r="C20" s="35" t="s">
        <v>80</v>
      </c>
      <c r="D20" s="36"/>
      <c r="E20" s="31"/>
      <c r="F20" s="32"/>
    </row>
    <row r="21" spans="1:6" x14ac:dyDescent="0.35">
      <c r="A21" s="2" t="s">
        <v>35</v>
      </c>
      <c r="B21" s="7" t="s">
        <v>36</v>
      </c>
      <c r="C21" s="35" t="s">
        <v>37</v>
      </c>
      <c r="D21" s="36"/>
      <c r="E21" s="33"/>
      <c r="F21" s="34"/>
    </row>
    <row r="22" spans="1:6" ht="15.5" x14ac:dyDescent="0.35">
      <c r="A22" s="23" t="s">
        <v>38</v>
      </c>
      <c r="B22" s="24"/>
      <c r="C22" s="24"/>
      <c r="D22" s="24"/>
      <c r="E22" s="24"/>
      <c r="F22" s="25"/>
    </row>
    <row r="23" spans="1:6" x14ac:dyDescent="0.35">
      <c r="A23" s="26" t="s">
        <v>82</v>
      </c>
      <c r="B23" s="27"/>
      <c r="C23" s="27"/>
      <c r="D23" s="27"/>
      <c r="E23" s="27"/>
      <c r="F23" s="28"/>
    </row>
    <row r="24" spans="1:6" x14ac:dyDescent="0.35">
      <c r="A24" s="1" t="s">
        <v>39</v>
      </c>
      <c r="B24" s="5" t="s">
        <v>40</v>
      </c>
      <c r="C24" s="5" t="s">
        <v>41</v>
      </c>
      <c r="D24" s="5" t="s">
        <v>42</v>
      </c>
      <c r="E24" s="5" t="s">
        <v>43</v>
      </c>
      <c r="F24" s="1" t="s">
        <v>79</v>
      </c>
    </row>
    <row r="25" spans="1:6" x14ac:dyDescent="0.35">
      <c r="A25" s="15" t="s">
        <v>36</v>
      </c>
      <c r="B25" s="7">
        <v>30</v>
      </c>
      <c r="C25" s="7">
        <v>7</v>
      </c>
      <c r="D25" s="7">
        <v>0</v>
      </c>
      <c r="E25" s="7"/>
      <c r="F25" s="13" t="s">
        <v>36</v>
      </c>
    </row>
    <row r="26" spans="1:6" x14ac:dyDescent="0.35">
      <c r="A26" s="15" t="s">
        <v>44</v>
      </c>
      <c r="B26" s="7">
        <v>15</v>
      </c>
      <c r="C26" s="7">
        <v>7</v>
      </c>
      <c r="D26" s="7">
        <v>5</v>
      </c>
      <c r="E26" s="7"/>
      <c r="F26" s="13" t="s">
        <v>44</v>
      </c>
    </row>
    <row r="27" spans="1:6" x14ac:dyDescent="0.35">
      <c r="A27" s="15" t="s">
        <v>45</v>
      </c>
      <c r="B27" s="7">
        <v>-85</v>
      </c>
      <c r="C27" s="7">
        <v>7</v>
      </c>
      <c r="D27" s="7">
        <v>25</v>
      </c>
      <c r="E27" s="7"/>
      <c r="F27" s="13" t="s">
        <v>45</v>
      </c>
    </row>
    <row r="28" spans="1:6" x14ac:dyDescent="0.35">
      <c r="A28" s="15" t="s">
        <v>46</v>
      </c>
      <c r="B28" s="7">
        <v>69</v>
      </c>
      <c r="C28" s="7">
        <v>7</v>
      </c>
      <c r="D28" s="7">
        <v>28</v>
      </c>
      <c r="E28" s="7"/>
      <c r="F28" s="13" t="s">
        <v>46</v>
      </c>
    </row>
    <row r="29" spans="1:6" x14ac:dyDescent="0.35">
      <c r="A29" s="15"/>
      <c r="B29" s="7"/>
      <c r="C29" s="7"/>
      <c r="D29" s="7"/>
      <c r="E29" s="7"/>
      <c r="F29" s="13"/>
    </row>
    <row r="30" spans="1:6" x14ac:dyDescent="0.35">
      <c r="A30" s="15"/>
      <c r="B30" s="7"/>
      <c r="C30" s="7"/>
      <c r="D30" s="12"/>
      <c r="E30" s="7"/>
      <c r="F30" s="14"/>
    </row>
    <row r="31" spans="1:6" x14ac:dyDescent="0.35">
      <c r="A31" s="15"/>
      <c r="B31" s="7"/>
      <c r="C31" s="7"/>
      <c r="D31" s="12"/>
      <c r="E31" s="7"/>
      <c r="F31" s="14"/>
    </row>
    <row r="32" spans="1:6" x14ac:dyDescent="0.35">
      <c r="A32" s="15"/>
      <c r="B32" s="7"/>
      <c r="C32" s="7"/>
      <c r="D32" s="7"/>
      <c r="E32" s="7"/>
      <c r="F32" s="13"/>
    </row>
  </sheetData>
  <sheetProtection algorithmName="SHA-512" hashValue="1TLel7IXBe5bTAOc5kSAU0Nmd8JNtjoiato7VfF8qSI56AeKuf40mxbEu/eZbTgaKpMLORyvjTS/DT+RbkeMaQ==" saltValue="Zi37gtzl5MS/VpvEiLiAGg==" spinCount="100000" sheet="1" objects="1" scenarios="1"/>
  <mergeCells count="25">
    <mergeCell ref="A1:F1"/>
    <mergeCell ref="A2:F2"/>
    <mergeCell ref="A3:F3"/>
    <mergeCell ref="E4:F4"/>
    <mergeCell ref="C5:D5"/>
    <mergeCell ref="C4:D4"/>
    <mergeCell ref="C6:D6"/>
    <mergeCell ref="C21:D21"/>
    <mergeCell ref="C16:D16"/>
    <mergeCell ref="C17:D17"/>
    <mergeCell ref="C18:D18"/>
    <mergeCell ref="C19:D19"/>
    <mergeCell ref="C20:D20"/>
    <mergeCell ref="C7:D7"/>
    <mergeCell ref="C9:D9"/>
    <mergeCell ref="C14:D14"/>
    <mergeCell ref="A22:F22"/>
    <mergeCell ref="A23:F23"/>
    <mergeCell ref="E8:F21"/>
    <mergeCell ref="C8:D8"/>
    <mergeCell ref="C10:D10"/>
    <mergeCell ref="C11:D11"/>
    <mergeCell ref="C12:D12"/>
    <mergeCell ref="C13:D13"/>
    <mergeCell ref="C15:D15"/>
  </mergeCells>
  <dataValidations count="1">
    <dataValidation type="list" allowBlank="1" sqref="B19" xr:uid="{00000000-0002-0000-0000-000003000000}">
      <formula1>v_anchor_list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3" name="Button 10">
              <controlPr defaultSize="0" print="0" autoFill="0" autoPict="0" macro="[0]!RunPMEG">
                <anchor moveWithCells="1" sizeWithCells="1">
                  <from>
                    <xdr:col>4</xdr:col>
                    <xdr:colOff>171450</xdr:colOff>
                    <xdr:row>18</xdr:row>
                    <xdr:rowOff>19050</xdr:rowOff>
                  </from>
                  <to>
                    <xdr:col>5</xdr:col>
                    <xdr:colOff>1435100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000-000000000000}">
          <x14:formula1>
            <xm:f>Lists!$A$2:$A$3</xm:f>
          </x14:formula1>
          <xm:sqref>B10</xm:sqref>
        </x14:dataValidation>
        <x14:dataValidation type="list" allowBlank="1" xr:uid="{00000000-0002-0000-0000-000001000000}">
          <x14:formula1>
            <xm:f>Lists!$B$2:$B$3</xm:f>
          </x14:formula1>
          <xm:sqref>B11</xm:sqref>
        </x14:dataValidation>
        <x14:dataValidation type="list" allowBlank="1" xr:uid="{00000000-0002-0000-0000-000002000000}">
          <x14:formula1>
            <xm:f>Lists!$C$2:$C$7</xm:f>
          </x14:formula1>
          <xm:sqref>B18</xm:sqref>
        </x14:dataValidation>
        <x14:dataValidation type="list" allowBlank="1" xr:uid="{00000000-0002-0000-0000-000004000000}">
          <x14:formula1>
            <xm:f>Lists!$E$2:$E$5</xm:f>
          </x14:formula1>
          <xm:sqref>B21 A25:A32</xm:sqref>
        </x14:dataValidation>
        <x14:dataValidation type="list" allowBlank="1" xr:uid="{E8963AAA-EB86-41A9-9B5C-FD79AD67DC81}">
          <x14:formula1>
            <xm:f>Lists!$F$2:$F$4</xm:f>
          </x14:formula1>
          <xm:sqref>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C8540-AB58-4AD6-8660-250EACE62848}">
  <sheetPr codeName="Sheet2"/>
  <dimension ref="A1:A43"/>
  <sheetViews>
    <sheetView showGridLines="0" workbookViewId="0">
      <selection activeCell="A53" sqref="A53"/>
    </sheetView>
  </sheetViews>
  <sheetFormatPr defaultRowHeight="14.5" x14ac:dyDescent="0.35"/>
  <cols>
    <col min="1" max="1" width="90.36328125" style="16" bestFit="1" customWidth="1"/>
    <col min="2" max="16384" width="8.7265625" style="16"/>
  </cols>
  <sheetData>
    <row r="1" spans="1:1" ht="19.5" x14ac:dyDescent="0.45">
      <c r="A1" s="18" t="s">
        <v>47</v>
      </c>
    </row>
    <row r="2" spans="1:1" x14ac:dyDescent="0.35">
      <c r="A2"/>
    </row>
    <row r="3" spans="1:1" x14ac:dyDescent="0.35">
      <c r="A3" t="s">
        <v>48</v>
      </c>
    </row>
    <row r="4" spans="1:1" x14ac:dyDescent="0.35">
      <c r="A4" t="s">
        <v>49</v>
      </c>
    </row>
    <row r="5" spans="1:1" x14ac:dyDescent="0.35">
      <c r="A5" t="s">
        <v>50</v>
      </c>
    </row>
    <row r="6" spans="1:1" x14ac:dyDescent="0.35">
      <c r="A6" t="s">
        <v>51</v>
      </c>
    </row>
    <row r="7" spans="1:1" x14ac:dyDescent="0.35">
      <c r="A7" t="s">
        <v>52</v>
      </c>
    </row>
    <row r="8" spans="1:1" x14ac:dyDescent="0.35">
      <c r="A8" t="s">
        <v>53</v>
      </c>
    </row>
    <row r="9" spans="1:1" x14ac:dyDescent="0.35">
      <c r="A9" t="s">
        <v>54</v>
      </c>
    </row>
    <row r="10" spans="1:1" x14ac:dyDescent="0.35">
      <c r="A10" t="s">
        <v>55</v>
      </c>
    </row>
    <row r="11" spans="1:1" x14ac:dyDescent="0.35">
      <c r="A11"/>
    </row>
    <row r="12" spans="1:1" x14ac:dyDescent="0.35">
      <c r="A12" t="s">
        <v>56</v>
      </c>
    </row>
    <row r="13" spans="1:1" x14ac:dyDescent="0.35">
      <c r="A13"/>
    </row>
    <row r="14" spans="1:1" x14ac:dyDescent="0.35">
      <c r="A14"/>
    </row>
    <row r="15" spans="1:1" x14ac:dyDescent="0.35">
      <c r="A15" s="19" t="s">
        <v>57</v>
      </c>
    </row>
    <row r="16" spans="1:1" x14ac:dyDescent="0.35">
      <c r="A16" t="s">
        <v>58</v>
      </c>
    </row>
    <row r="17" spans="1:1" x14ac:dyDescent="0.35">
      <c r="A17" t="s">
        <v>59</v>
      </c>
    </row>
    <row r="18" spans="1:1" x14ac:dyDescent="0.35">
      <c r="A18" t="s">
        <v>60</v>
      </c>
    </row>
    <row r="19" spans="1:1" x14ac:dyDescent="0.35">
      <c r="A19" t="s">
        <v>61</v>
      </c>
    </row>
    <row r="20" spans="1:1" x14ac:dyDescent="0.35">
      <c r="A20" t="s">
        <v>62</v>
      </c>
    </row>
    <row r="21" spans="1:1" x14ac:dyDescent="0.35">
      <c r="A21" t="s">
        <v>63</v>
      </c>
    </row>
    <row r="22" spans="1:1" x14ac:dyDescent="0.35">
      <c r="A22" t="s">
        <v>64</v>
      </c>
    </row>
    <row r="23" spans="1:1" x14ac:dyDescent="0.35">
      <c r="A23" t="s">
        <v>65</v>
      </c>
    </row>
    <row r="24" spans="1:1" x14ac:dyDescent="0.35">
      <c r="A24"/>
    </row>
    <row r="25" spans="1:1" x14ac:dyDescent="0.35">
      <c r="A25"/>
    </row>
    <row r="26" spans="1:1" x14ac:dyDescent="0.35">
      <c r="A26" s="20" t="s">
        <v>85</v>
      </c>
    </row>
    <row r="27" spans="1:1" x14ac:dyDescent="0.35">
      <c r="A27" t="s">
        <v>88</v>
      </c>
    </row>
    <row r="28" spans="1:1" x14ac:dyDescent="0.35">
      <c r="A28" t="s">
        <v>86</v>
      </c>
    </row>
    <row r="29" spans="1:1" x14ac:dyDescent="0.35">
      <c r="A29" t="s">
        <v>87</v>
      </c>
    </row>
    <row r="30" spans="1:1" x14ac:dyDescent="0.35">
      <c r="A30" t="s">
        <v>91</v>
      </c>
    </row>
    <row r="31" spans="1:1" x14ac:dyDescent="0.35">
      <c r="A31" t="s">
        <v>89</v>
      </c>
    </row>
    <row r="32" spans="1:1" x14ac:dyDescent="0.35">
      <c r="A32" t="s">
        <v>92</v>
      </c>
    </row>
    <row r="33" spans="1:1" x14ac:dyDescent="0.35">
      <c r="A33" t="s">
        <v>100</v>
      </c>
    </row>
    <row r="34" spans="1:1" x14ac:dyDescent="0.35">
      <c r="A34" t="s">
        <v>90</v>
      </c>
    </row>
    <row r="35" spans="1:1" x14ac:dyDescent="0.35">
      <c r="A35" t="s">
        <v>93</v>
      </c>
    </row>
    <row r="36" spans="1:1" x14ac:dyDescent="0.35">
      <c r="A36"/>
    </row>
    <row r="37" spans="1:1" x14ac:dyDescent="0.35">
      <c r="A37" t="s">
        <v>101</v>
      </c>
    </row>
    <row r="38" spans="1:1" x14ac:dyDescent="0.35">
      <c r="A38" t="s">
        <v>94</v>
      </c>
    </row>
    <row r="39" spans="1:1" x14ac:dyDescent="0.35">
      <c r="A39" t="s">
        <v>95</v>
      </c>
    </row>
    <row r="40" spans="1:1" x14ac:dyDescent="0.35">
      <c r="A40" t="s">
        <v>96</v>
      </c>
    </row>
    <row r="41" spans="1:1" x14ac:dyDescent="0.35">
      <c r="A41" t="s">
        <v>98</v>
      </c>
    </row>
    <row r="42" spans="1:1" x14ac:dyDescent="0.35">
      <c r="A42" t="s">
        <v>97</v>
      </c>
    </row>
    <row r="43" spans="1:1" x14ac:dyDescent="0.35">
      <c r="A43" t="s">
        <v>99</v>
      </c>
    </row>
  </sheetData>
  <sheetProtection algorithmName="SHA-512" hashValue="ftKqVk519xKLD88DHu4cFLY9urNgo8yPFW/omDNfbI9FCBmDLv7aVsuUx67CMb2LTlbql0nnJZmVCGbzswm/ew==" saltValue="exl3wKzbCOyJyrkK4ps9F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5"/>
  <sheetViews>
    <sheetView workbookViewId="0">
      <selection activeCell="C1" sqref="C1"/>
    </sheetView>
  </sheetViews>
  <sheetFormatPr defaultRowHeight="14.5" x14ac:dyDescent="0.35"/>
  <cols>
    <col min="2" max="2" width="10.7265625" bestFit="1" customWidth="1"/>
    <col min="3" max="3" width="24.08984375" style="16" bestFit="1" customWidth="1"/>
    <col min="4" max="4" width="21.90625" style="16" bestFit="1" customWidth="1"/>
    <col min="5" max="5" width="18.26953125" style="16" bestFit="1" customWidth="1"/>
    <col min="6" max="6" width="30.36328125" style="16" customWidth="1"/>
    <col min="7" max="16384" width="8.7265625" style="16"/>
  </cols>
  <sheetData>
    <row r="1" spans="1:6" x14ac:dyDescent="0.35">
      <c r="A1" s="17" t="s">
        <v>84</v>
      </c>
      <c r="B1" s="17" t="s">
        <v>83</v>
      </c>
      <c r="C1" s="17" t="s">
        <v>104</v>
      </c>
      <c r="D1" s="17" t="s">
        <v>102</v>
      </c>
      <c r="E1" s="17" t="s">
        <v>103</v>
      </c>
      <c r="F1" s="17" t="s">
        <v>110</v>
      </c>
    </row>
    <row r="2" spans="1:6" x14ac:dyDescent="0.35">
      <c r="A2" s="21" t="s">
        <v>15</v>
      </c>
      <c r="B2" s="21" t="s">
        <v>18</v>
      </c>
      <c r="C2" s="21" t="s">
        <v>44</v>
      </c>
      <c r="D2" s="21" t="s">
        <v>66</v>
      </c>
      <c r="E2" s="21" t="s">
        <v>36</v>
      </c>
      <c r="F2" s="21" t="s">
        <v>112</v>
      </c>
    </row>
    <row r="3" spans="1:6" x14ac:dyDescent="0.35">
      <c r="A3" s="21" t="s">
        <v>67</v>
      </c>
      <c r="B3" s="21" t="s">
        <v>68</v>
      </c>
      <c r="C3" s="21" t="s">
        <v>36</v>
      </c>
      <c r="D3" s="21" t="s">
        <v>36</v>
      </c>
      <c r="E3" s="21" t="s">
        <v>44</v>
      </c>
      <c r="F3" s="21" t="s">
        <v>113</v>
      </c>
    </row>
    <row r="4" spans="1:6" x14ac:dyDescent="0.35">
      <c r="C4" s="21" t="s">
        <v>69</v>
      </c>
      <c r="D4" s="21" t="s">
        <v>44</v>
      </c>
      <c r="E4" s="21" t="s">
        <v>45</v>
      </c>
      <c r="F4" s="21" t="s">
        <v>111</v>
      </c>
    </row>
    <row r="5" spans="1:6" x14ac:dyDescent="0.35">
      <c r="C5" s="21" t="s">
        <v>70</v>
      </c>
      <c r="D5" s="21" t="s">
        <v>69</v>
      </c>
      <c r="E5" s="21" t="s">
        <v>46</v>
      </c>
    </row>
    <row r="6" spans="1:6" x14ac:dyDescent="0.35">
      <c r="C6" s="16" t="s">
        <v>45</v>
      </c>
      <c r="D6" s="21" t="s">
        <v>70</v>
      </c>
    </row>
    <row r="7" spans="1:6" x14ac:dyDescent="0.35">
      <c r="C7" s="16" t="s">
        <v>46</v>
      </c>
      <c r="D7" s="16" t="s">
        <v>45</v>
      </c>
    </row>
    <row r="8" spans="1:6" x14ac:dyDescent="0.35">
      <c r="D8" s="16" t="s">
        <v>46</v>
      </c>
    </row>
    <row r="13" spans="1:6" x14ac:dyDescent="0.35">
      <c r="A13" s="22" t="s">
        <v>105</v>
      </c>
    </row>
    <row r="14" spans="1:6" x14ac:dyDescent="0.35">
      <c r="A14" s="22" t="s">
        <v>106</v>
      </c>
    </row>
    <row r="15" spans="1:6" x14ac:dyDescent="0.35">
      <c r="A15" s="22" t="s">
        <v>107</v>
      </c>
    </row>
  </sheetData>
  <sheetProtection algorithmName="SHA-512" hashValue="ax2RovVBSaekxLpYBo41Ro1R6nndQ+gEZWkw/DPdDnCRvup1RhOh/CG5lkx/d2YtLPNwJMyL/laaNh297cERIQ==" saltValue="4f6aK+LUhmiAc0HwNrbJo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PMEG_Input</vt:lpstr>
      <vt:lpstr>Instructions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Andreas Lazaris</cp:lastModifiedBy>
  <dcterms:created xsi:type="dcterms:W3CDTF">2026-03-20T19:19:09Z</dcterms:created>
  <dcterms:modified xsi:type="dcterms:W3CDTF">2026-04-02T04:23:16Z</dcterms:modified>
</cp:coreProperties>
</file>